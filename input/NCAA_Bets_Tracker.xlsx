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CAA B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<sst xmlns="http://schemas.openxmlformats.org/spreadsheetml/2006/main" count="98" uniqueCount="62">
  <si>
    <t xml:space="preserve">#</t>
  </si>
  <si>
    <t xml:space="preserve">Type</t>
  </si>
  <si>
    <t xml:space="preserve">Game Date/Time</t>
  </si>
  <si>
    <t xml:space="preserve">Bet Description</t>
  </si>
  <si>
    <t xml:space="preserve">Matchup</t>
  </si>
  <si>
    <t xml:space="preserve">Bet Type</t>
  </si>
  <si>
    <t xml:space="preserve">Odds</t>
  </si>
  <si>
    <t xml:space="preserve">Wager</t>
  </si>
  <si>
    <t xml:space="preserve">Potential Payout</t>
  </si>
  <si>
    <t xml:space="preserve">Result</t>
  </si>
  <si>
    <t xml:space="preserve">Profit/Loss</t>
  </si>
  <si>
    <t xml:space="preserve">Straight</t>
  </si>
  <si>
    <t xml:space="preserve">Under 146.5</t>
  </si>
  <si>
    <t xml:space="preserve">TCU @ Ohio State</t>
  </si>
  <si>
    <t xml:space="preserve">Total Points</t>
  </si>
  <si>
    <t xml:space="preserve">-110</t>
  </si>
  <si>
    <t xml:space="preserve">Pending</t>
  </si>
  <si>
    <t xml:space="preserve">Louisville -4.5</t>
  </si>
  <si>
    <t xml:space="preserve">South Florida @ Louisville</t>
  </si>
  <si>
    <t xml:space="preserve">Game Spread</t>
  </si>
  <si>
    <t xml:space="preserve">-105</t>
  </si>
  <si>
    <t xml:space="preserve">Parlay (3)</t>
  </si>
  <si>
    <t xml:space="preserve">Ohio State ML / Nebraska ML / Louisville ML</t>
  </si>
  <si>
    <t xml:space="preserve">Multiple</t>
  </si>
  <si>
    <t xml:space="preserve">Moneyline</t>
  </si>
  <si>
    <t xml:space="preserve">+182</t>
  </si>
  <si>
    <t xml:space="preserve">Wisconsin -10.5</t>
  </si>
  <si>
    <t xml:space="preserve">High Point @ Wisconsin</t>
  </si>
  <si>
    <t xml:space="preserve">Even</t>
  </si>
  <si>
    <t xml:space="preserve">Duke -16.5 (1H)</t>
  </si>
  <si>
    <t xml:space="preserve">Siena @ Duke</t>
  </si>
  <si>
    <t xml:space="preserve">1st Half Spread</t>
  </si>
  <si>
    <t xml:space="preserve">-125</t>
  </si>
  <si>
    <t xml:space="preserve">Vanderbilt -12.5</t>
  </si>
  <si>
    <t xml:space="preserve">McNeese St @ Vanderbilt</t>
  </si>
  <si>
    <t xml:space="preserve">North Dakota St +15.5</t>
  </si>
  <si>
    <t xml:space="preserve">ND State @ Michigan St</t>
  </si>
  <si>
    <t xml:space="preserve">Arkansas -15.5</t>
  </si>
  <si>
    <t xml:space="preserve">Hawaii @ Arkansas</t>
  </si>
  <si>
    <t xml:space="preserve">Howard +31.5</t>
  </si>
  <si>
    <t xml:space="preserve">Howard @ Michigan</t>
  </si>
  <si>
    <t xml:space="preserve">-115</t>
  </si>
  <si>
    <t xml:space="preserve">BYU -2.5</t>
  </si>
  <si>
    <t xml:space="preserve">Texas @ BYU</t>
  </si>
  <si>
    <t xml:space="preserve">Pennsylvania +25.5</t>
  </si>
  <si>
    <t xml:space="preserve">Pennsylvania @ Illinois</t>
  </si>
  <si>
    <t xml:space="preserve">Parlay (12)</t>
  </si>
  <si>
    <t xml:space="preserve">NEB/LOU/WIS/VAN/MSU/ARK/UNC/MICH/BYU/ILL/GONZ/HOU All ML</t>
  </si>
  <si>
    <t xml:space="preserve">+950</t>
  </si>
  <si>
    <t xml:space="preserve">Parlay (4)</t>
  </si>
  <si>
    <t xml:space="preserve">Tournament</t>
  </si>
  <si>
    <t xml:space="preserve">Florida S.Region / Arizona W.Region / Michigan MW.Region / Duke E.Region</t>
  </si>
  <si>
    <t xml:space="preserve">Region Winners</t>
  </si>
  <si>
    <t xml:space="preserve">+1476</t>
  </si>
  <si>
    <t xml:space="preserve">Total Wagered:</t>
  </si>
  <si>
    <t xml:space="preserve">Total Potential Payout:</t>
  </si>
  <si>
    <t xml:space="preserve">Wins:</t>
  </si>
  <si>
    <t xml:space="preserve">Losses:</t>
  </si>
  <si>
    <t xml:space="preserve">Pending:</t>
  </si>
  <si>
    <t xml:space="preserve">Net Profit/Loss:</t>
  </si>
  <si>
    <t xml:space="preserve">Instructions:</t>
  </si>
  <si>
    <t xml:space="preserve">Change the Result column to "Win" or "Loss" as games finish. Profit/Loss and totals update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</si>
</sst>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\ h:mm\ AM/PM"/>
    <numFmt numFmtId="166" formatCode="\$#,##0.00"/>
    <numFmt numFmtId="167" formatCode="\$#,##0.00;&quot;($&quot;#,##0.00\);\-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FF8C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3" t="n">
        <v>46100.46875</v>
      </c>
      <c r="D2" s="4" t="s">
        <v>12</v>
      </c>
      <c r="E2" s="4" t="s">
        <v>13</v>
      </c>
      <c r="F2" s="2" t="s">
        <v>14</v>
      </c>
      <c r="G2" s="2" t="s">
        <v>15</v>
      </c>
      <c r="H2" s="5" t="n">
        <v>22</v>
      </c>
      <c r="I2" s="5" t="n">
        <v>42</v>
      </c>
      <c r="J2" s="6" t="s">
        <v>16</v>
      </c>
      <c r="K2" s="7" t="n">
        <f aca="false">IF(J2="Win",I2-H2,IF(J2="Loss",-H2,0))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3" t="n">
        <v>46100.5208333333</v>
      </c>
      <c r="D3" s="4" t="s">
        <v>17</v>
      </c>
      <c r="E3" s="4" t="s">
        <v>18</v>
      </c>
      <c r="F3" s="2" t="s">
        <v>19</v>
      </c>
      <c r="G3" s="2" t="s">
        <v>20</v>
      </c>
      <c r="H3" s="5" t="n">
        <v>21</v>
      </c>
      <c r="I3" s="5" t="n">
        <v>41</v>
      </c>
      <c r="J3" s="6" t="s">
        <v>16</v>
      </c>
      <c r="K3" s="7" t="n">
        <f aca="false">IF(J3="Win",I3-H3,IF(J3="Loss",-H3,0))</f>
        <v>0</v>
      </c>
    </row>
    <row r="4" customFormat="false" ht="23.85" hidden="false" customHeight="false" outlineLevel="0" collapsed="false">
      <c r="A4" s="8" t="n">
        <v>3</v>
      </c>
      <c r="B4" s="8" t="s">
        <v>21</v>
      </c>
      <c r="C4" s="9" t="n">
        <v>46100.5208333333</v>
      </c>
      <c r="D4" s="10" t="s">
        <v>22</v>
      </c>
      <c r="E4" s="10" t="s">
        <v>23</v>
      </c>
      <c r="F4" s="8" t="s">
        <v>24</v>
      </c>
      <c r="G4" s="8" t="s">
        <v>25</v>
      </c>
      <c r="H4" s="11" t="n">
        <v>20</v>
      </c>
      <c r="I4" s="11" t="n">
        <v>56.49</v>
      </c>
      <c r="J4" s="12" t="s">
        <v>16</v>
      </c>
      <c r="K4" s="13" t="n">
        <f aca="false">IF(J4="Win",I4-H4,IF(J4="Loss",-H4,0))</f>
        <v>0</v>
      </c>
    </row>
    <row r="5" customFormat="false" ht="15" hidden="false" customHeight="false" outlineLevel="0" collapsed="false">
      <c r="A5" s="2" t="n">
        <v>4</v>
      </c>
      <c r="B5" s="2" t="s">
        <v>11</v>
      </c>
      <c r="C5" s="3" t="n">
        <v>46100.5347222222</v>
      </c>
      <c r="D5" s="4" t="s">
        <v>26</v>
      </c>
      <c r="E5" s="4" t="s">
        <v>27</v>
      </c>
      <c r="F5" s="2" t="s">
        <v>19</v>
      </c>
      <c r="G5" s="2" t="s">
        <v>28</v>
      </c>
      <c r="H5" s="5" t="n">
        <v>20</v>
      </c>
      <c r="I5" s="5" t="n">
        <v>40</v>
      </c>
      <c r="J5" s="6" t="s">
        <v>16</v>
      </c>
      <c r="K5" s="7" t="n">
        <f aca="false">IF(J5="Win",I5-H5,IF(J5="Loss",-H5,0))</f>
        <v>0</v>
      </c>
    </row>
    <row r="6" customFormat="false" ht="15" hidden="false" customHeight="false" outlineLevel="0" collapsed="false">
      <c r="A6" s="2" t="n">
        <v>5</v>
      </c>
      <c r="B6" s="2" t="s">
        <v>11</v>
      </c>
      <c r="C6" s="3" t="n">
        <v>46100.5763888889</v>
      </c>
      <c r="D6" s="4" t="s">
        <v>29</v>
      </c>
      <c r="E6" s="4" t="s">
        <v>30</v>
      </c>
      <c r="F6" s="2" t="s">
        <v>31</v>
      </c>
      <c r="G6" s="2" t="s">
        <v>32</v>
      </c>
      <c r="H6" s="5" t="n">
        <v>25</v>
      </c>
      <c r="I6" s="5" t="n">
        <v>45</v>
      </c>
      <c r="J6" s="6" t="s">
        <v>16</v>
      </c>
      <c r="K6" s="7" t="n">
        <f aca="false">IF(J6="Win",I6-H6,IF(J6="Loss",-H6,0))</f>
        <v>0</v>
      </c>
    </row>
    <row r="7" customFormat="false" ht="15" hidden="false" customHeight="false" outlineLevel="0" collapsed="false">
      <c r="A7" s="2" t="n">
        <v>6</v>
      </c>
      <c r="B7" s="2" t="s">
        <v>11</v>
      </c>
      <c r="C7" s="3" t="n">
        <v>46100.59375</v>
      </c>
      <c r="D7" s="4" t="s">
        <v>33</v>
      </c>
      <c r="E7" s="4" t="s">
        <v>34</v>
      </c>
      <c r="F7" s="2" t="s">
        <v>19</v>
      </c>
      <c r="G7" s="2" t="s">
        <v>28</v>
      </c>
      <c r="H7" s="5" t="n">
        <v>20</v>
      </c>
      <c r="I7" s="5" t="n">
        <v>40</v>
      </c>
      <c r="J7" s="6" t="s">
        <v>16</v>
      </c>
      <c r="K7" s="7" t="n">
        <f aca="false">IF(J7="Win",I7-H7,IF(J7="Loss",-H7,0))</f>
        <v>0</v>
      </c>
    </row>
    <row r="8" customFormat="false" ht="15" hidden="false" customHeight="false" outlineLevel="0" collapsed="false">
      <c r="A8" s="2" t="n">
        <v>7</v>
      </c>
      <c r="B8" s="2" t="s">
        <v>11</v>
      </c>
      <c r="C8" s="3" t="n">
        <v>46100.6284722222</v>
      </c>
      <c r="D8" s="4" t="s">
        <v>35</v>
      </c>
      <c r="E8" s="4" t="s">
        <v>36</v>
      </c>
      <c r="F8" s="2" t="s">
        <v>19</v>
      </c>
      <c r="G8" s="2" t="s">
        <v>28</v>
      </c>
      <c r="H8" s="5" t="n">
        <v>20</v>
      </c>
      <c r="I8" s="5" t="n">
        <v>40</v>
      </c>
      <c r="J8" s="6" t="s">
        <v>16</v>
      </c>
      <c r="K8" s="7" t="n">
        <f aca="false">IF(J8="Win",I8-H8,IF(J8="Loss",-H8,0))</f>
        <v>0</v>
      </c>
    </row>
    <row r="9" customFormat="false" ht="15" hidden="false" customHeight="false" outlineLevel="0" collapsed="false">
      <c r="A9" s="2" t="n">
        <v>8</v>
      </c>
      <c r="B9" s="2" t="s">
        <v>11</v>
      </c>
      <c r="C9" s="3" t="n">
        <v>46100.6423611111</v>
      </c>
      <c r="D9" s="4" t="s">
        <v>37</v>
      </c>
      <c r="E9" s="4" t="s">
        <v>38</v>
      </c>
      <c r="F9" s="2" t="s">
        <v>19</v>
      </c>
      <c r="G9" s="2" t="s">
        <v>15</v>
      </c>
      <c r="H9" s="5" t="n">
        <v>22</v>
      </c>
      <c r="I9" s="5" t="n">
        <v>42</v>
      </c>
      <c r="J9" s="6" t="s">
        <v>16</v>
      </c>
      <c r="K9" s="7" t="n">
        <f aca="false">IF(J9="Win",I9-H9,IF(J9="Loss",-H9,0))</f>
        <v>0</v>
      </c>
    </row>
    <row r="10" customFormat="false" ht="15" hidden="false" customHeight="false" outlineLevel="0" collapsed="false">
      <c r="A10" s="2" t="n">
        <v>9</v>
      </c>
      <c r="B10" s="2" t="s">
        <v>11</v>
      </c>
      <c r="C10" s="3" t="n">
        <v>46100.7569444445</v>
      </c>
      <c r="D10" s="4" t="s">
        <v>39</v>
      </c>
      <c r="E10" s="4" t="s">
        <v>40</v>
      </c>
      <c r="F10" s="2" t="s">
        <v>19</v>
      </c>
      <c r="G10" s="2" t="s">
        <v>41</v>
      </c>
      <c r="H10" s="5" t="n">
        <v>23</v>
      </c>
      <c r="I10" s="5" t="n">
        <v>43</v>
      </c>
      <c r="J10" s="6" t="s">
        <v>16</v>
      </c>
      <c r="K10" s="7" t="n">
        <f aca="false">IF(J10="Win",I10-H10,IF(J10="Loss",-H10,0))</f>
        <v>0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3" t="n">
        <v>46100.7673611111</v>
      </c>
      <c r="D11" s="4" t="s">
        <v>42</v>
      </c>
      <c r="E11" s="4" t="s">
        <v>43</v>
      </c>
      <c r="F11" s="2" t="s">
        <v>19</v>
      </c>
      <c r="G11" s="2" t="s">
        <v>41</v>
      </c>
      <c r="H11" s="5" t="n">
        <v>23</v>
      </c>
      <c r="I11" s="5" t="n">
        <v>43</v>
      </c>
      <c r="J11" s="6" t="s">
        <v>16</v>
      </c>
      <c r="K11" s="7" t="n">
        <f aca="false">IF(J11="Win",I11-H11,IF(J11="Loss",-H11,0))</f>
        <v>0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3" t="n">
        <v>46100.8506944445</v>
      </c>
      <c r="D12" s="4" t="s">
        <v>44</v>
      </c>
      <c r="E12" s="4" t="s">
        <v>45</v>
      </c>
      <c r="F12" s="2" t="s">
        <v>19</v>
      </c>
      <c r="G12" s="2" t="s">
        <v>15</v>
      </c>
      <c r="H12" s="5" t="n">
        <v>22</v>
      </c>
      <c r="I12" s="5" t="n">
        <v>42</v>
      </c>
      <c r="J12" s="6" t="s">
        <v>16</v>
      </c>
      <c r="K12" s="7" t="n">
        <f aca="false">IF(J12="Win",I12-H12,IF(J12="Loss",-H12,0))</f>
        <v>0</v>
      </c>
    </row>
    <row r="13" customFormat="false" ht="23.85" hidden="false" customHeight="false" outlineLevel="0" collapsed="false">
      <c r="A13" s="8" t="n">
        <v>12</v>
      </c>
      <c r="B13" s="8" t="s">
        <v>46</v>
      </c>
      <c r="C13" s="9" t="n">
        <v>46100.8888888889</v>
      </c>
      <c r="D13" s="10" t="s">
        <v>47</v>
      </c>
      <c r="E13" s="10" t="s">
        <v>23</v>
      </c>
      <c r="F13" s="8" t="s">
        <v>24</v>
      </c>
      <c r="G13" s="8" t="s">
        <v>48</v>
      </c>
      <c r="H13" s="11" t="n">
        <v>9</v>
      </c>
      <c r="I13" s="11" t="n">
        <v>94.47</v>
      </c>
      <c r="J13" s="12" t="s">
        <v>16</v>
      </c>
      <c r="K13" s="13" t="n">
        <f aca="false">IF(J13="Win",I13-H13,IF(J13="Loss",-H13,0))</f>
        <v>0</v>
      </c>
    </row>
    <row r="14" customFormat="false" ht="23.85" hidden="false" customHeight="false" outlineLevel="0" collapsed="false">
      <c r="A14" s="8" t="n">
        <v>13</v>
      </c>
      <c r="B14" s="8" t="s">
        <v>49</v>
      </c>
      <c r="C14" s="14" t="s">
        <v>50</v>
      </c>
      <c r="D14" s="10" t="s">
        <v>51</v>
      </c>
      <c r="E14" s="10" t="s">
        <v>23</v>
      </c>
      <c r="F14" s="8" t="s">
        <v>52</v>
      </c>
      <c r="G14" s="8" t="s">
        <v>53</v>
      </c>
      <c r="H14" s="11" t="n">
        <v>10</v>
      </c>
      <c r="I14" s="11" t="n">
        <v>157.64</v>
      </c>
      <c r="J14" s="12" t="s">
        <v>16</v>
      </c>
      <c r="K14" s="13" t="n">
        <f aca="false">IF(J14="Win",I14-H14,IF(J14="Loss",-H14,0))</f>
        <v>0</v>
      </c>
    </row>
    <row r="16" customFormat="false" ht="15" hidden="false" customHeight="false" outlineLevel="0" collapsed="false">
      <c r="E16" s="15" t="s">
        <v>54</v>
      </c>
      <c r="F16" s="15"/>
      <c r="G16" s="15"/>
      <c r="H16" s="16" t="n">
        <f aca="false">SUM(H2:H14)</f>
        <v>257</v>
      </c>
    </row>
    <row r="17" customFormat="false" ht="15" hidden="false" customHeight="false" outlineLevel="0" collapsed="false">
      <c r="E17" s="15" t="s">
        <v>55</v>
      </c>
      <c r="F17" s="15"/>
      <c r="G17" s="15"/>
      <c r="H17" s="16" t="n">
        <f aca="false">SUM(I2:I14)</f>
        <v>726.6</v>
      </c>
    </row>
    <row r="18" customFormat="false" ht="15" hidden="false" customHeight="false" outlineLevel="0" collapsed="false">
      <c r="E18" s="15" t="s">
        <v>56</v>
      </c>
      <c r="F18" s="15"/>
      <c r="G18" s="15"/>
      <c r="H18" s="17" t="n">
        <f aca="false">COUNTIF(J2:J14,"Win")</f>
        <v>0</v>
      </c>
    </row>
    <row r="19" customFormat="false" ht="15" hidden="false" customHeight="false" outlineLevel="0" collapsed="false">
      <c r="E19" s="15" t="s">
        <v>57</v>
      </c>
      <c r="F19" s="15"/>
      <c r="G19" s="15"/>
      <c r="H19" s="17" t="n">
        <f aca="false">COUNTIF(J2:J14,"Loss")</f>
        <v>0</v>
      </c>
    </row>
    <row r="20" customFormat="false" ht="15" hidden="false" customHeight="false" outlineLevel="0" collapsed="false">
      <c r="E20" s="15" t="s">
        <v>58</v>
      </c>
      <c r="F20" s="15"/>
      <c r="G20" s="15"/>
      <c r="H20" s="17" t="n">
        <f aca="false">COUNTIF(J2:J14,"Pending")</f>
        <v>13</v>
      </c>
    </row>
    <row r="21" customFormat="false" ht="15" hidden="false" customHeight="false" outlineLevel="0" collapsed="false">
      <c r="E21" s="15" t="s">
        <v>59</v>
      </c>
      <c r="F21" s="15"/>
      <c r="G21" s="15"/>
      <c r="H21" s="16" t="n">
        <f aca="false">SUM(K2:K14)</f>
        <v>0</v>
      </c>
    </row>
    <row r="23" customFormat="false" ht="15" hidden="false" customHeight="false" outlineLevel="0" collapsed="false">
      <c r="A23" s="18" t="s">
        <v>60</v>
      </c>
    </row>
    <row r="24" customFormat="false" ht="15" hidden="false" customHeight="false" outlineLevel="0" collapsed="false">
      <c r="A24" s="19" t="s">
        <v>61</v>
      </c>
    </row>
  </sheetData>
  <mergeCells count="6">
    <mergeCell ref="E16:G16"/>
    <mergeCell ref="E17:G17"/>
    <mergeCell ref="E18:G18"/>
    <mergeCell ref="E19:G19"/>
    <mergeCell ref="E20:G20"/>
    <mergeCell ref="E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2026-03-19T14:34:49Z</dcterms:created>
  <dc:creator>openpyxl</dc:creator>
  <dc:description/>
  <dc:language>en-US</dc:language>
  <cp:lastModifiedBy/>
  <dcterms:modified xsi:type="dcterms:W3CDTF">2026-03-19T14:34:49Z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